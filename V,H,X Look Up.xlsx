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\Desktop\"/>
    </mc:Choice>
  </mc:AlternateContent>
  <xr:revisionPtr revIDLastSave="0" documentId="8_{4284B657-B518-44EE-BA53-CE305F8BB640}" xr6:coauthVersionLast="47" xr6:coauthVersionMax="47" xr10:uidLastSave="{00000000-0000-0000-0000-000000000000}"/>
  <bookViews>
    <workbookView xWindow="-120" yWindow="-120" windowWidth="29040" windowHeight="15720" xr2:uid="{E2504433-917B-4FE3-9664-AC6F3E1E6DBB}"/>
  </bookViews>
  <sheets>
    <sheet name="Vlook Up, Xlook Up, Hlook 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7" i="1" l="1"/>
  <c r="H54" i="1"/>
  <c r="H50" i="1"/>
  <c r="H46" i="1"/>
  <c r="H38" i="1"/>
  <c r="H39" i="1"/>
  <c r="H40" i="1"/>
  <c r="H41" i="1"/>
  <c r="H42" i="1"/>
  <c r="H37" i="1"/>
  <c r="I28" i="1"/>
  <c r="I25" i="1"/>
  <c r="K25" i="1" s="1"/>
  <c r="L25" i="1" s="1"/>
  <c r="J25" i="1"/>
  <c r="J21" i="1"/>
  <c r="K21" i="1" s="1"/>
  <c r="I21" i="1"/>
  <c r="I18" i="1"/>
  <c r="I14" i="1"/>
  <c r="C29" i="1"/>
  <c r="C26" i="1"/>
  <c r="C22" i="1"/>
  <c r="C19" i="1"/>
  <c r="C16" i="1"/>
  <c r="C13" i="1"/>
  <c r="L21" i="1" l="1"/>
</calcChain>
</file>

<file path=xl/sharedStrings.xml><?xml version="1.0" encoding="utf-8"?>
<sst xmlns="http://schemas.openxmlformats.org/spreadsheetml/2006/main" count="126" uniqueCount="67">
  <si>
    <t>VLOOKUP Tasks (1–6)</t>
  </si>
  <si>
    <t>HLOOKUP Tasks (7–10)</t>
  </si>
  <si>
    <t>(Bonus Amount = Salary × Bonus %).</t>
  </si>
  <si>
    <t>XLOOKUP Tasks (11–15)</t>
  </si>
  <si>
    <t>1. Find the Name of employee using EmployeeID from Search_Input.</t>
  </si>
  <si>
    <t>2. Find the Department of employee with ID E103.</t>
  </si>
  <si>
    <t>3. Find the Salary of employee Neha Singh using VLOOKUP.</t>
  </si>
  <si>
    <t>4. Get the Location of employee E107.</t>
  </si>
  <si>
    <t>5. If EmployeeID is not found, display "Not Found".</t>
  </si>
  <si>
    <t>6. Find the JoiningYear of employee E101.</t>
  </si>
  <si>
    <t>7. Find the Bonus % for IT department.</t>
  </si>
  <si>
    <t>8. Find the Bonus % for Finance department.</t>
  </si>
  <si>
    <t>9. Calculate Bonus Amount for employee E104</t>
  </si>
  <si>
    <t>10. If department is invalid, display "No Bonus Data".</t>
  </si>
  <si>
    <t>11. Find Salary using EmployeeID.</t>
  </si>
  <si>
    <t>12. Find Department using Employee Name.</t>
  </si>
  <si>
    <t>13. Fetch Location of employee Rohit Verma.</t>
  </si>
  <si>
    <t>14. If EmployeeID = E999, return "Employee Not Found".</t>
  </si>
  <si>
    <t>15. Find Bonus % using XLOOKUP from Department_Bonus (horizontal lookup).</t>
  </si>
  <si>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</si>
  <si>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</si>
  <si>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</si>
  <si>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</si>
  <si>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</si>
  <si>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</si>
  <si>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</si>
  <si>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</si>
  <si>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</si>
  <si>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</si>
  <si>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</si>
  <si>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</si>
  <si>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</si>
  <si>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</si>
  <si>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</si>
  <si>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</si>
  <si>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</si>
  <si>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</si>
  <si>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</si>
  <si>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</si>
  <si>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</si>
  <si>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</si>
  <si>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</si>
  <si>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</si>
  <si>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</si>
  <si>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</si>
  <si>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</si>
  <si>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</si>
  <si>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</si>
  <si>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</si>
  <si>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</si>
  <si>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</si>
  <si>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</si>
  <si>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e999</t>
  </si>
  <si>
    <t>E110</t>
  </si>
  <si>
    <t>Joining Year</t>
  </si>
  <si>
    <t>V Look Up Tasks 1-6</t>
  </si>
  <si>
    <t>Bonus %</t>
  </si>
  <si>
    <t>H Look Up Tasks 7-10</t>
  </si>
  <si>
    <t>Bonus Amount</t>
  </si>
  <si>
    <t>Employee ID</t>
  </si>
  <si>
    <t>salary</t>
  </si>
  <si>
    <t>bonus %</t>
  </si>
  <si>
    <t>bonus amount</t>
  </si>
  <si>
    <t>Bonus</t>
  </si>
  <si>
    <t>Accounting</t>
  </si>
  <si>
    <t>XLook Up Tasks 11-15</t>
  </si>
  <si>
    <t xml:space="preserve">Employee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</si>
</sst>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2" fillId="0" borderId="0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right" vertical="center" wrapText="1" indent="1"/>
    </xf>
    <xf numFmtId="9" fontId="0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center"/>
    </xf>
    <xf numFmtId="9" fontId="2" fillId="0" borderId="2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 indent="1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AE8E-D7D3-4EEC-8BC0-EF4D7212ACB2}">
  <dimension ref="A1:O57"/>
  <sheetViews>
    <sheetView tabSelected="1" topLeftCell="A10" workbookViewId="0">
      <selection activeCell="E42" sqref="E42"/>
    </sheetView>
  </sheetViews>
  <sheetFormatPr defaultRowHeight="15" x14ac:dyDescent="0.25"/>
  <cols>
    <col min="1" max="1" width="11.7109375" bestFit="1" customWidth="1"/>
    <col min="2" max="2" width="15.7109375" customWidth="1"/>
    <col min="3" max="3" width="15.140625" customWidth="1"/>
    <col min="4" max="4" width="11.85546875" customWidth="1"/>
    <col min="5" max="5" width="7" bestFit="1" customWidth="1"/>
    <col min="6" max="6" width="11.140625" bestFit="1" customWidth="1"/>
    <col min="7" max="7" width="18.85546875" customWidth="1"/>
    <col min="8" max="8" width="19.5703125" customWidth="1"/>
    <col min="9" max="9" width="15.5703125" customWidth="1"/>
    <col min="10" max="10" width="15.85546875" customWidth="1"/>
    <col min="11" max="11" width="15.140625" customWidth="1"/>
    <col min="12" max="12" width="14.28515625" customWidth="1"/>
    <col min="13" max="13" width="18.140625" customWidth="1"/>
  </cols>
  <sheetData>
    <row r="1" spans="1:15" ht="18" customHeight="1" thickBot="1" x14ac:dyDescent="0.3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H1" s="16" t="s">
        <v>21</v>
      </c>
      <c r="I1" s="17" t="s">
        <v>27</v>
      </c>
      <c r="J1" s="17" t="s">
        <v>31</v>
      </c>
      <c r="K1" s="17" t="s">
        <v>35</v>
      </c>
      <c r="L1" s="17" t="s">
        <v>39</v>
      </c>
      <c r="M1" s="17" t="s">
        <v>43</v>
      </c>
    </row>
    <row r="2" spans="1:15" ht="17.25" customHeight="1" thickBot="1" x14ac:dyDescent="0.3">
      <c r="A2" s="3" t="s">
        <v>25</v>
      </c>
      <c r="B2" s="3" t="s">
        <v>26</v>
      </c>
      <c r="C2" s="3" t="s">
        <v>27</v>
      </c>
      <c r="D2" s="3" t="s">
        <v>28</v>
      </c>
      <c r="E2" s="3">
        <v>45000</v>
      </c>
      <c r="F2" s="3">
        <v>2019</v>
      </c>
      <c r="H2" s="1" t="s">
        <v>56</v>
      </c>
      <c r="I2" s="6">
        <v>0.1</v>
      </c>
      <c r="J2" s="6">
        <v>0.08</v>
      </c>
      <c r="K2" s="6">
        <v>0.12</v>
      </c>
      <c r="L2" s="6">
        <v>0.15</v>
      </c>
      <c r="M2" s="6">
        <v>0.09</v>
      </c>
      <c r="O2" t="s">
        <v>0</v>
      </c>
    </row>
    <row r="3" spans="1:15" x14ac:dyDescent="0.25">
      <c r="A3" s="3" t="s">
        <v>29</v>
      </c>
      <c r="B3" s="3" t="s">
        <v>30</v>
      </c>
      <c r="C3" s="3" t="s">
        <v>31</v>
      </c>
      <c r="D3" s="3" t="s">
        <v>32</v>
      </c>
      <c r="E3" s="3">
        <v>52000</v>
      </c>
      <c r="F3" s="3">
        <v>2018</v>
      </c>
      <c r="O3" s="4" t="s">
        <v>4</v>
      </c>
    </row>
    <row r="4" spans="1:15" x14ac:dyDescent="0.25">
      <c r="A4" s="3" t="s">
        <v>33</v>
      </c>
      <c r="B4" s="3" t="s">
        <v>34</v>
      </c>
      <c r="C4" s="3" t="s">
        <v>35</v>
      </c>
      <c r="D4" s="3" t="s">
        <v>36</v>
      </c>
      <c r="E4" s="3">
        <v>65000</v>
      </c>
      <c r="F4" s="3">
        <v>2020</v>
      </c>
      <c r="O4" s="4" t="s">
        <v>5</v>
      </c>
    </row>
    <row r="5" spans="1:15" x14ac:dyDescent="0.25">
      <c r="A5" s="3" t="s">
        <v>37</v>
      </c>
      <c r="B5" s="3" t="s">
        <v>38</v>
      </c>
      <c r="C5" s="3" t="s">
        <v>39</v>
      </c>
      <c r="D5" s="3" t="s">
        <v>40</v>
      </c>
      <c r="E5" s="3">
        <v>58000</v>
      </c>
      <c r="F5" s="3">
        <v>2017</v>
      </c>
      <c r="O5" s="4" t="s">
        <v>6</v>
      </c>
    </row>
    <row r="6" spans="1:15" x14ac:dyDescent="0.25">
      <c r="A6" s="3" t="s">
        <v>41</v>
      </c>
      <c r="B6" s="3" t="s">
        <v>42</v>
      </c>
      <c r="C6" s="3" t="s">
        <v>43</v>
      </c>
      <c r="D6" s="3" t="s">
        <v>28</v>
      </c>
      <c r="E6" s="3">
        <v>48000</v>
      </c>
      <c r="F6" s="3">
        <v>2021</v>
      </c>
      <c r="O6" s="4" t="s">
        <v>7</v>
      </c>
    </row>
    <row r="7" spans="1:15" x14ac:dyDescent="0.25">
      <c r="A7" s="3" t="s">
        <v>44</v>
      </c>
      <c r="B7" s="3" t="s">
        <v>45</v>
      </c>
      <c r="C7" s="3" t="s">
        <v>35</v>
      </c>
      <c r="D7" s="3" t="s">
        <v>46</v>
      </c>
      <c r="E7" s="3">
        <v>62000</v>
      </c>
      <c r="F7" s="3">
        <v>2019</v>
      </c>
      <c r="O7" s="4" t="s">
        <v>8</v>
      </c>
    </row>
    <row r="8" spans="1:15" x14ac:dyDescent="0.25">
      <c r="A8" s="3" t="s">
        <v>47</v>
      </c>
      <c r="B8" s="3" t="s">
        <v>48</v>
      </c>
      <c r="C8" s="3" t="s">
        <v>27</v>
      </c>
      <c r="D8" s="3" t="s">
        <v>49</v>
      </c>
      <c r="E8" s="3">
        <v>47000</v>
      </c>
      <c r="F8" s="3">
        <v>2020</v>
      </c>
      <c r="O8" s="4" t="s">
        <v>9</v>
      </c>
    </row>
    <row r="9" spans="1:15" x14ac:dyDescent="0.25">
      <c r="A9" s="3" t="s">
        <v>50</v>
      </c>
      <c r="B9" s="3" t="s">
        <v>51</v>
      </c>
      <c r="C9" s="3" t="s">
        <v>31</v>
      </c>
      <c r="D9" s="3" t="s">
        <v>36</v>
      </c>
      <c r="E9" s="3">
        <v>54000</v>
      </c>
      <c r="F9" s="3">
        <v>2016</v>
      </c>
    </row>
    <row r="10" spans="1:15" x14ac:dyDescent="0.25">
      <c r="O10" t="s">
        <v>1</v>
      </c>
    </row>
    <row r="11" spans="1:15" x14ac:dyDescent="0.25">
      <c r="A11" s="5" t="s">
        <v>55</v>
      </c>
      <c r="B11" s="5"/>
      <c r="C11" s="5"/>
      <c r="D11" s="5"/>
      <c r="E11" s="5"/>
      <c r="F11" s="5"/>
      <c r="H11" s="23" t="s">
        <v>57</v>
      </c>
      <c r="I11" s="23"/>
      <c r="J11" s="23"/>
      <c r="K11" s="23"/>
      <c r="L11" s="23"/>
      <c r="M11" s="23"/>
      <c r="O11" s="4" t="s">
        <v>10</v>
      </c>
    </row>
    <row r="12" spans="1:15" x14ac:dyDescent="0.25">
      <c r="B12" s="12" t="s">
        <v>19</v>
      </c>
      <c r="C12" s="12" t="s">
        <v>20</v>
      </c>
      <c r="O12" s="4" t="s">
        <v>11</v>
      </c>
    </row>
    <row r="13" spans="1:15" x14ac:dyDescent="0.25">
      <c r="B13" s="3" t="s">
        <v>41</v>
      </c>
      <c r="C13" s="3" t="str">
        <f>VLOOKUP(B13,A1:B9,2,FALSE)</f>
        <v>Aman Kumar</v>
      </c>
      <c r="H13" s="18" t="s">
        <v>56</v>
      </c>
      <c r="I13" s="18" t="s">
        <v>21</v>
      </c>
      <c r="O13" s="4" t="s">
        <v>12</v>
      </c>
    </row>
    <row r="14" spans="1:15" x14ac:dyDescent="0.25">
      <c r="H14" s="3" t="s">
        <v>35</v>
      </c>
      <c r="I14" s="7">
        <f>HLOOKUP(H14,H1:M2,2,FALSE)</f>
        <v>0.12</v>
      </c>
      <c r="O14" t="s">
        <v>2</v>
      </c>
    </row>
    <row r="15" spans="1:15" x14ac:dyDescent="0.25">
      <c r="B15" s="12" t="s">
        <v>19</v>
      </c>
      <c r="C15" s="13" t="s">
        <v>21</v>
      </c>
      <c r="O15" s="4" t="s">
        <v>13</v>
      </c>
    </row>
    <row r="16" spans="1:15" x14ac:dyDescent="0.25">
      <c r="B16" s="2" t="s">
        <v>47</v>
      </c>
      <c r="C16" s="2" t="str">
        <f>VLOOKUP(B16,A1:C9,3,FALSE)</f>
        <v>Sales</v>
      </c>
    </row>
    <row r="17" spans="2:15" x14ac:dyDescent="0.25">
      <c r="H17" s="18" t="s">
        <v>56</v>
      </c>
      <c r="I17" s="18" t="s">
        <v>21</v>
      </c>
      <c r="O17" t="s">
        <v>3</v>
      </c>
    </row>
    <row r="18" spans="2:15" x14ac:dyDescent="0.25">
      <c r="B18" s="12" t="s">
        <v>20</v>
      </c>
      <c r="C18" s="13" t="s">
        <v>23</v>
      </c>
      <c r="H18" s="2" t="s">
        <v>39</v>
      </c>
      <c r="I18" s="9">
        <f>HLOOKUP(H18,H1:M2,2,FALSE)</f>
        <v>0.15</v>
      </c>
      <c r="O18" s="4" t="s">
        <v>14</v>
      </c>
    </row>
    <row r="19" spans="2:15" x14ac:dyDescent="0.25">
      <c r="B19" s="2" t="s">
        <v>38</v>
      </c>
      <c r="C19" s="2">
        <f>VLOOKUP(B19,B1:E9,4,FALSE)</f>
        <v>58000</v>
      </c>
      <c r="O19" s="4" t="s">
        <v>15</v>
      </c>
    </row>
    <row r="20" spans="2:15" x14ac:dyDescent="0.25">
      <c r="H20" s="19" t="s">
        <v>59</v>
      </c>
      <c r="I20" s="18" t="s">
        <v>60</v>
      </c>
      <c r="J20" s="18" t="s">
        <v>21</v>
      </c>
      <c r="K20" s="18" t="s">
        <v>61</v>
      </c>
      <c r="L20" s="18" t="s">
        <v>62</v>
      </c>
      <c r="M20" s="4"/>
      <c r="O20" s="4" t="s">
        <v>16</v>
      </c>
    </row>
    <row r="21" spans="2:15" x14ac:dyDescent="0.25">
      <c r="B21" s="12" t="s">
        <v>19</v>
      </c>
      <c r="C21" s="12" t="s">
        <v>22</v>
      </c>
      <c r="H21" s="8" t="s">
        <v>37</v>
      </c>
      <c r="I21" s="8">
        <f>+VLOOKUP(H21,$A$1:$E$9,5,FALSE)</f>
        <v>58000</v>
      </c>
      <c r="J21" s="8" t="str">
        <f>+VLOOKUP(H21,$A$1:$C$9,3,FALSE)</f>
        <v>Finance</v>
      </c>
      <c r="K21" s="10">
        <f>+HLOOKUP(J21,$H$1:$M$2,2,FALSE)</f>
        <v>0.15</v>
      </c>
      <c r="L21" s="8">
        <f>+K21*I21</f>
        <v>8700</v>
      </c>
      <c r="M21" s="4"/>
      <c r="O21" s="4" t="s">
        <v>17</v>
      </c>
    </row>
    <row r="22" spans="2:15" x14ac:dyDescent="0.25">
      <c r="B22" s="3" t="s">
        <v>47</v>
      </c>
      <c r="C22" s="3" t="str">
        <f>VLOOKUP(B22,A1:D9,4,)</f>
        <v>Hyderabad</v>
      </c>
      <c r="O22" s="4" t="s">
        <v>18</v>
      </c>
    </row>
    <row r="24" spans="2:15" x14ac:dyDescent="0.25">
      <c r="H24" s="20" t="s">
        <v>59</v>
      </c>
      <c r="I24" s="20" t="s">
        <v>21</v>
      </c>
      <c r="J24" s="20" t="s">
        <v>23</v>
      </c>
      <c r="K24" s="20" t="s">
        <v>63</v>
      </c>
      <c r="L24" s="20" t="s">
        <v>58</v>
      </c>
    </row>
    <row r="25" spans="2:15" x14ac:dyDescent="0.25">
      <c r="B25" s="12" t="s">
        <v>19</v>
      </c>
      <c r="C25" s="12" t="s">
        <v>20</v>
      </c>
      <c r="H25" s="3" t="s">
        <v>37</v>
      </c>
      <c r="I25" s="3" t="str">
        <f>VLOOKUP(H25,A1:C9,3,)</f>
        <v>Finance</v>
      </c>
      <c r="J25" s="3">
        <f>VLOOKUP(H25,A1:E9,5,)</f>
        <v>58000</v>
      </c>
      <c r="K25" s="11">
        <f>HLOOKUP(I25,H1:M2,2,)</f>
        <v>0.15</v>
      </c>
      <c r="L25" s="3">
        <f>J25*K25</f>
        <v>8700</v>
      </c>
    </row>
    <row r="26" spans="2:15" x14ac:dyDescent="0.25">
      <c r="B26" s="3" t="s">
        <v>53</v>
      </c>
      <c r="C26" s="3" t="str">
        <f>IFERROR(VLOOKUP(B26,A1:B9,2,),"Not Found")</f>
        <v>Not Found</v>
      </c>
    </row>
    <row r="27" spans="2:15" x14ac:dyDescent="0.25">
      <c r="H27" s="20" t="s">
        <v>21</v>
      </c>
      <c r="I27" s="20" t="s">
        <v>63</v>
      </c>
    </row>
    <row r="28" spans="2:15" x14ac:dyDescent="0.25">
      <c r="B28" s="12" t="s">
        <v>19</v>
      </c>
      <c r="C28" s="12" t="s">
        <v>54</v>
      </c>
      <c r="H28" s="3" t="s">
        <v>64</v>
      </c>
      <c r="I28" s="3" t="str">
        <f>IFERROR(HLOOKUP(H28,H1:M2,2,FALSE),"No Bonus Data")</f>
        <v>No Bonus Data</v>
      </c>
    </row>
    <row r="29" spans="2:15" x14ac:dyDescent="0.25">
      <c r="B29" s="3" t="s">
        <v>25</v>
      </c>
      <c r="C29" s="3">
        <f>IFERROR(VLOOKUP(B29,A1:F9,6,FALSE),"Not Found")</f>
        <v>2019</v>
      </c>
    </row>
    <row r="33" spans="7:9" x14ac:dyDescent="0.25">
      <c r="G33" s="15" t="s">
        <v>65</v>
      </c>
      <c r="H33" s="15"/>
      <c r="I33" s="15"/>
    </row>
    <row r="34" spans="7:9" ht="19.5" customHeight="1" x14ac:dyDescent="0.25"/>
    <row r="36" spans="7:9" x14ac:dyDescent="0.25">
      <c r="G36" s="21" t="s">
        <v>59</v>
      </c>
      <c r="H36" s="21" t="s">
        <v>23</v>
      </c>
    </row>
    <row r="37" spans="7:9" x14ac:dyDescent="0.25">
      <c r="G37" s="2" t="s">
        <v>25</v>
      </c>
      <c r="H37" s="2">
        <f>_xlfn.XLOOKUP(G37,A2:A9,E2:E9)</f>
        <v>45000</v>
      </c>
    </row>
    <row r="38" spans="7:9" x14ac:dyDescent="0.25">
      <c r="G38" s="2" t="s">
        <v>29</v>
      </c>
      <c r="H38" s="2">
        <f t="shared" ref="H38:H42" si="0">_xlfn.XLOOKUP(G38,A3:A10,E3:E10)</f>
        <v>52000</v>
      </c>
    </row>
    <row r="39" spans="7:9" x14ac:dyDescent="0.25">
      <c r="G39" s="2" t="s">
        <v>33</v>
      </c>
      <c r="H39" s="2">
        <f t="shared" si="0"/>
        <v>65000</v>
      </c>
    </row>
    <row r="40" spans="7:9" x14ac:dyDescent="0.25">
      <c r="G40" s="2" t="s">
        <v>37</v>
      </c>
      <c r="H40" s="2">
        <f t="shared" si="0"/>
        <v>58000</v>
      </c>
    </row>
    <row r="41" spans="7:9" x14ac:dyDescent="0.25">
      <c r="G41" s="2" t="s">
        <v>41</v>
      </c>
      <c r="H41" s="2">
        <f t="shared" si="0"/>
        <v>48000</v>
      </c>
    </row>
    <row r="42" spans="7:9" x14ac:dyDescent="0.25">
      <c r="G42" s="2" t="s">
        <v>44</v>
      </c>
      <c r="H42" s="2">
        <f t="shared" si="0"/>
        <v>62000</v>
      </c>
    </row>
    <row r="45" spans="7:9" x14ac:dyDescent="0.25">
      <c r="G45" s="22" t="s">
        <v>66</v>
      </c>
      <c r="H45" s="22" t="s">
        <v>21</v>
      </c>
    </row>
    <row r="46" spans="7:9" x14ac:dyDescent="0.25">
      <c r="G46" s="3" t="s">
        <v>26</v>
      </c>
      <c r="H46" s="3" t="str">
        <f>_xlfn.XLOOKUP(G46,B1:B9,C1:C9)</f>
        <v>Sales</v>
      </c>
    </row>
    <row r="49" spans="7:8" x14ac:dyDescent="0.25">
      <c r="G49" s="22" t="s">
        <v>66</v>
      </c>
      <c r="H49" s="22" t="s">
        <v>22</v>
      </c>
    </row>
    <row r="50" spans="7:8" x14ac:dyDescent="0.25">
      <c r="G50" s="3" t="s">
        <v>34</v>
      </c>
      <c r="H50" s="3" t="str">
        <f>_xlfn.XLOOKUP(G50,B1:B9,D1:D9)</f>
        <v>Bangalore</v>
      </c>
    </row>
    <row r="53" spans="7:8" x14ac:dyDescent="0.25">
      <c r="G53" s="22" t="s">
        <v>21</v>
      </c>
      <c r="H53" s="22" t="s">
        <v>56</v>
      </c>
    </row>
    <row r="54" spans="7:8" x14ac:dyDescent="0.25">
      <c r="G54" s="3" t="s">
        <v>35</v>
      </c>
      <c r="H54" s="11">
        <f>+_xlfn.XLOOKUP(G54,H1:M1,H2:M2)</f>
        <v>0.12</v>
      </c>
    </row>
    <row r="56" spans="7:8" x14ac:dyDescent="0.25">
      <c r="G56" s="22" t="s">
        <v>59</v>
      </c>
      <c r="H56" s="22" t="s">
        <v>20</v>
      </c>
    </row>
    <row r="57" spans="7:8" x14ac:dyDescent="0.25">
      <c r="G57" s="3" t="s">
        <v>52</v>
      </c>
      <c r="H57" s="3" t="str">
        <f>IFERROR(_xlfn.XLOOKUP(G57,A1:A9,B1:B9),"Employee Not Found")</f>
        <v>Employee Not Found</v>
      </c>
    </row>
  </sheetData>
  <mergeCells count="3">
    <mergeCell ref="H11:M11"/>
    <mergeCell ref="A11:F11"/>
    <mergeCell ref="G33:I33"/>
  </mergeCells>
  <phoneticPr fontId="5" type="noConversion"/>
  <dataValidations count="3">
    <dataValidation type="list" allowBlank="1" showInputMessage="1" showErrorMessage="1" sqref="E13" xr:uid="{74269C02-A952-4BF6-91F9-3208EB10A593}">
      <formula1>$A$1:$A$9</formula1>
    </dataValidation>
    <dataValidation type="list" allowBlank="1" showInputMessage="1" showErrorMessage="1" sqref="B13 B16 B22" xr:uid="{D04D6B5A-2689-4DEC-B7CA-F78102BB93B5}">
      <formula1>$A$2:$A$9</formula1>
    </dataValidation>
    <dataValidation type="list" allowBlank="1" showInputMessage="1" showErrorMessage="1" sqref="B19 G46 G50" xr:uid="{E846A3FB-1F9A-4C97-BF9E-E930D3860BAE}">
      <formula1>$B$2:$B$9</formula1>
    </dataValidation>
  </dataValidations>
  <pageMargins left="0.7" right="0.7" top="0.75" bottom="0.75" header="0.3" footer="0.3"/>
  <pageSetup orientation="portrait" r:id="rId1"/>
  <ignoredErrors>
    <ignoredError sqref="H38:H4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 Up, Xlook Up, Hlook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</dc:creator>
  <cp:lastModifiedBy>ASDC5</cp:lastModifiedBy>
  <dcterms:created xsi:type="dcterms:W3CDTF">2026-02-01T05:08:28Z</dcterms:created>
  <dcterms:modified xsi:type="dcterms:W3CDTF">2026-02-01T06:40:34Z</dcterms:modified>
</cp:coreProperties>
</file>